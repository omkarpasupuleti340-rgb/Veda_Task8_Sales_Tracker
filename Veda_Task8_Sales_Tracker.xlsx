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<sst xmlns="http://schemas.openxmlformats.org/spreadsheetml/2006/main" count="33" uniqueCount="24">
  <si>
    <t>Date</t>
  </si>
  <si>
    <t>Product</t>
  </si>
  <si>
    <t>Quantity</t>
  </si>
  <si>
    <t>Sales</t>
  </si>
  <si>
    <t>SALES TRACKER DASHBOARD</t>
  </si>
  <si>
    <t>Total Sales</t>
  </si>
  <si>
    <t>Laptop</t>
  </si>
  <si>
    <t>Total Quantity</t>
  </si>
  <si>
    <t>Mouse</t>
  </si>
  <si>
    <t>Average Sales</t>
  </si>
  <si>
    <t>Keyboard</t>
  </si>
  <si>
    <t>Monitor</t>
  </si>
  <si>
    <t>Daily Sales</t>
  </si>
  <si>
    <t>Week</t>
  </si>
  <si>
    <t>Weekly Sales</t>
  </si>
  <si>
    <t>Month</t>
  </si>
  <si>
    <t>Monthly Sales</t>
  </si>
  <si>
    <t>Week 1</t>
  </si>
  <si>
    <t>September</t>
  </si>
  <si>
    <t>Week 2</t>
  </si>
  <si>
    <t>October</t>
  </si>
  <si>
    <t>Week 3</t>
  </si>
  <si>
    <t>Week 4</t>
  </si>
  <si>
    <t>Week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</si>
</sst>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/>
    </row>
    <row r="2">
      <c r="A2" s="5">
        <v>46266.0</v>
      </c>
      <c r="B2" s="7" t="s">
        <v>6</v>
      </c>
      <c r="C2" s="7">
        <v>2.0</v>
      </c>
      <c r="D2" s="7">
        <v>1200.0</v>
      </c>
    </row>
    <row r="3">
      <c r="A3" s="5">
        <v>46267.0</v>
      </c>
      <c r="B3" s="7" t="s">
        <v>8</v>
      </c>
      <c r="C3" s="7">
        <v>5.0</v>
      </c>
      <c r="D3" s="7">
        <v>250.0</v>
      </c>
    </row>
    <row r="4">
      <c r="A4" s="5">
        <v>46268.0</v>
      </c>
      <c r="B4" s="7" t="s">
        <v>10</v>
      </c>
      <c r="C4" s="7">
        <v>3.0</v>
      </c>
      <c r="D4" s="7">
        <v>450.0</v>
      </c>
    </row>
    <row r="5">
      <c r="A5" s="5">
        <v>46269.0</v>
      </c>
      <c r="B5" s="7" t="s">
        <v>11</v>
      </c>
      <c r="C5" s="7">
        <v>2.0</v>
      </c>
      <c r="D5" s="7">
        <v>600.0</v>
      </c>
    </row>
    <row r="6">
      <c r="A6" s="5">
        <v>46270.0</v>
      </c>
      <c r="B6" s="7" t="s">
        <v>6</v>
      </c>
      <c r="C6" s="7">
        <v>1.0</v>
      </c>
      <c r="D6" s="7">
        <v>600.0</v>
      </c>
    </row>
    <row r="7">
      <c r="A7" s="5">
        <v>46273.0</v>
      </c>
      <c r="B7" s="7" t="s">
        <v>8</v>
      </c>
      <c r="C7" s="7">
        <v>4.0</v>
      </c>
      <c r="D7" s="7">
        <v>200.0</v>
      </c>
    </row>
    <row r="8">
      <c r="A8" s="5">
        <v>46275.0</v>
      </c>
      <c r="B8" s="7" t="s">
        <v>10</v>
      </c>
      <c r="C8" s="7">
        <v>2.0</v>
      </c>
      <c r="D8" s="7">
        <v>300.0</v>
      </c>
    </row>
    <row r="9">
      <c r="A9" s="5">
        <v>46277.0</v>
      </c>
      <c r="B9" s="7" t="s">
        <v>11</v>
      </c>
      <c r="C9" s="7">
        <v>3.0</v>
      </c>
      <c r="D9" s="7">
        <v>900.0</v>
      </c>
    </row>
    <row r="10">
      <c r="A10" s="5">
        <v>46280.0</v>
      </c>
      <c r="B10" s="7" t="s">
        <v>6</v>
      </c>
      <c r="C10" s="7">
        <v>2.0</v>
      </c>
      <c r="D10" s="7">
        <v>1200.0</v>
      </c>
    </row>
    <row r="11">
      <c r="A11" s="5">
        <v>46283.0</v>
      </c>
      <c r="B11" s="7" t="s">
        <v>8</v>
      </c>
      <c r="C11" s="7">
        <v>6.0</v>
      </c>
      <c r="D11" s="7">
        <v>300.0</v>
      </c>
    </row>
    <row r="12">
      <c r="A12" s="5">
        <v>46285.0</v>
      </c>
      <c r="B12" s="7" t="s">
        <v>10</v>
      </c>
      <c r="C12" s="7">
        <v>4.0</v>
      </c>
      <c r="D12" s="7">
        <v>600.0</v>
      </c>
    </row>
    <row r="13">
      <c r="A13" s="5">
        <v>46290.0</v>
      </c>
      <c r="B13" s="7" t="s">
        <v>11</v>
      </c>
      <c r="C13" s="7">
        <v>1.0</v>
      </c>
      <c r="D13" s="7">
        <v>300.0</v>
      </c>
    </row>
    <row r="15">
      <c r="G15" s="5"/>
    </row>
    <row r="16">
      <c r="G16" s="5"/>
    </row>
    <row r="17">
      <c r="G17" s="5"/>
    </row>
    <row r="18">
      <c r="G18" s="5"/>
    </row>
    <row r="19">
      <c r="G19" s="5"/>
    </row>
    <row r="20">
      <c r="G20" s="5"/>
    </row>
    <row r="21">
      <c r="G21" s="5"/>
    </row>
    <row r="22">
      <c r="G22" s="5"/>
    </row>
    <row r="23">
      <c r="G23" s="5"/>
    </row>
    <row r="24">
      <c r="G24" s="5"/>
    </row>
    <row r="25">
      <c r="G25" s="5"/>
    </row>
    <row r="26">
      <c r="G2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4"/>
      <c r="C1" s="4"/>
      <c r="D1" s="2" t="s">
        <v>4</v>
      </c>
      <c r="E1" s="4"/>
      <c r="F1" s="4"/>
      <c r="G1" s="2"/>
      <c r="H1" s="4"/>
    </row>
    <row r="3">
      <c r="A3" s="6" t="s">
        <v>5</v>
      </c>
      <c r="B3" s="8"/>
      <c r="C3" s="6" t="s">
        <v>7</v>
      </c>
      <c r="E3" s="2" t="s">
        <v>9</v>
      </c>
    </row>
    <row r="4">
      <c r="A4" s="9">
        <f>SUM('Raw Data'!D2:D1000)</f>
        <v>6900</v>
      </c>
      <c r="C4" s="9">
        <f>SUM('Raw Data'!C2:C1000)</f>
        <v>35</v>
      </c>
      <c r="E4" s="9">
        <f>AVERAGE('Raw Data'!D2:D1000)</f>
        <v>575</v>
      </c>
    </row>
    <row r="7">
      <c r="A7" s="6" t="s">
        <v>0</v>
      </c>
      <c r="B7" s="6" t="s">
        <v>12</v>
      </c>
      <c r="C7" s="8"/>
      <c r="D7" s="6" t="s">
        <v>13</v>
      </c>
      <c r="E7" s="6" t="s">
        <v>14</v>
      </c>
      <c r="F7" s="8"/>
      <c r="G7" s="6" t="s">
        <v>15</v>
      </c>
      <c r="H7" s="6" t="s">
        <v>16</v>
      </c>
    </row>
    <row r="8">
      <c r="A8" s="5">
        <v>46266.0</v>
      </c>
      <c r="B8" s="7">
        <f>SUMIF('Raw Data'!A:A,A8,'Raw Data'!D:D)</f>
        <v>1200</v>
      </c>
      <c r="D8" s="7" t="s">
        <v>17</v>
      </c>
      <c r="E8" s="9">
        <f>SUMIFS('Raw Data'!D:D,'Raw Data'!A:A,"&gt;="&amp;DATE(2026,9,1),'Raw Data'!A:A,"&lt;="&amp;DATE(2026,9,7))</f>
        <v>3100</v>
      </c>
      <c r="G8" s="7" t="s">
        <v>18</v>
      </c>
      <c r="H8" s="9">
        <f>SUMIFS('Raw Data'!D:D,'Raw Data'!A:A,"&gt;="&amp;DATE(2026,9,1),'Raw Data'!A:A,"&lt;"&amp;DATE(2026,10,1))</f>
        <v>6900</v>
      </c>
    </row>
    <row r="9">
      <c r="A9" s="5">
        <v>46267.0</v>
      </c>
      <c r="B9" s="7">
        <f>SUMIF('Raw Data'!A:A,A9,'Raw Data'!D:D)</f>
        <v>250</v>
      </c>
      <c r="D9" s="7" t="s">
        <v>19</v>
      </c>
      <c r="E9" s="9">
        <f>SUMIFS('Raw Data'!D:D,'Raw Data'!A:A,"&gt;="&amp;DATE(2026,9,8),'Raw Data'!A:A,"&lt;="&amp;DATE(2026,9,14))</f>
        <v>1400</v>
      </c>
      <c r="G9" s="7" t="s">
        <v>20</v>
      </c>
      <c r="H9" s="9">
        <f>SUMIFS('Raw Data'!D:D,'Raw Data'!A:A,"&gt;="&amp;DATE(2026,10,1),'Raw Data'!A:A,"&lt;"&amp;DATE(2026,11,1))</f>
        <v>0</v>
      </c>
    </row>
    <row r="10">
      <c r="A10" s="5">
        <v>46268.0</v>
      </c>
      <c r="B10" s="7">
        <f>SUMIF('Raw Data'!A:A,A10,'Raw Data'!D:D)</f>
        <v>450</v>
      </c>
      <c r="D10" s="7" t="s">
        <v>21</v>
      </c>
      <c r="E10" s="9">
        <f>SUMIFS('Raw Data'!D:D,'Raw Data'!A:A,"&gt;="&amp;DATE(2026,9,15),'Raw Data'!A:A,"&lt;="&amp;DATE(2026,9,21))</f>
        <v>2100</v>
      </c>
    </row>
    <row r="11">
      <c r="A11" s="5">
        <v>46269.0</v>
      </c>
      <c r="B11" s="7">
        <f>SUMIF('Raw Data'!A:A,A11,'Raw Data'!D:D)</f>
        <v>600</v>
      </c>
      <c r="D11" s="7" t="s">
        <v>22</v>
      </c>
      <c r="E11" s="9">
        <f>SUMIFS('Raw Data'!D:D,'Raw Data'!A:A,"&gt;="&amp;DATE(2026,9,22),'Raw Data'!A:A,"&lt;="&amp;DATE(2026,9,28))</f>
        <v>300</v>
      </c>
    </row>
    <row r="12">
      <c r="A12" s="5">
        <v>46270.0</v>
      </c>
      <c r="B12" s="7">
        <f>SUMIF('Raw Data'!A:A,A12,'Raw Data'!D:D)</f>
        <v>600</v>
      </c>
      <c r="D12" s="7" t="s">
        <v>23</v>
      </c>
      <c r="E12" s="9">
        <f>SUMIFS('Raw Data'!D:D,'Raw Data'!A:A,"&gt;="&amp;DATE(2026,9,29),'Raw Data'!A:A,"&lt;="&amp;DATE(2026,9,30))</f>
        <v>0</v>
      </c>
    </row>
    <row r="13">
      <c r="A13" s="5">
        <v>46273.0</v>
      </c>
      <c r="B13" s="7">
        <f>SUMIF('Raw Data'!A:A,A13,'Raw Data'!D:D)</f>
        <v>200</v>
      </c>
    </row>
    <row r="14">
      <c r="A14" s="5">
        <v>46275.0</v>
      </c>
      <c r="B14" s="7">
        <f>SUMIF('Raw Data'!A:A,A14,'Raw Data'!D:D)</f>
        <v>300</v>
      </c>
    </row>
    <row r="15">
      <c r="A15" s="5">
        <v>46277.0</v>
      </c>
      <c r="B15" s="7">
        <f>SUMIF('Raw Data'!A:A,A15,'Raw Data'!D:D)</f>
        <v>900</v>
      </c>
    </row>
    <row r="16">
      <c r="A16" s="5">
        <v>46280.0</v>
      </c>
      <c r="B16" s="7">
        <f>SUMIF('Raw Data'!A:A,A16,'Raw Data'!D:D)</f>
        <v>1200</v>
      </c>
    </row>
    <row r="17">
      <c r="A17" s="5">
        <v>46283.0</v>
      </c>
      <c r="B17" s="7">
        <f>SUMIF('Raw Data'!A:A,A17,'Raw Data'!D:D)</f>
        <v>300</v>
      </c>
    </row>
    <row r="18">
      <c r="A18" s="5">
        <v>46285.0</v>
      </c>
      <c r="B18" s="7">
        <f>SUMIF('Raw Data'!A:A,A18,'Raw Data'!D:D)</f>
        <v>600</v>
      </c>
    </row>
    <row r="19">
      <c r="A19" s="5">
        <v>46290.0</v>
      </c>
      <c r="B19" s="7">
        <f>SUMIF('Raw Data'!A:A,A19,'Raw Data'!D:D)</f>
        <v>300</v>
      </c>
    </row>
  </sheetData>
  <drawing r:id="rId1"/>
</worksheet>
</file>